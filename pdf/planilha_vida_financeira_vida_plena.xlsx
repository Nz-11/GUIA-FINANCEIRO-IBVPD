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Meu mês" sheetId="2" state="visible" r:id="rId4"/>
    <sheet name="Minhas dívidas" sheetId="3" state="visible" r:id="rId5"/>
    <sheet name="Meu plan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<sst xmlns="http://schemas.openxmlformats.org/spreadsheetml/2006/main" count="137" uniqueCount="123">
  <si>
    <t xml:space="preserve">UM NOVO COMEÇO</t>
  </si>
  <si>
    <t xml:space="preserve">Planilha simples para acompanhar sua vida financeira — preencha com calma, sem julgamento.</t>
  </si>
  <si>
    <t xml:space="preserve">MEU RESUMO</t>
  </si>
  <si>
    <t xml:space="preserve">Atualiza sozinho conforme você preenche as outras abas.</t>
  </si>
  <si>
    <t xml:space="preserve">Quanto entra por mês</t>
  </si>
  <si>
    <t xml:space="preserve">Total de renda da aba Meu mês.</t>
  </si>
  <si>
    <t xml:space="preserve">Quanto sai com despesas</t>
  </si>
  <si>
    <t xml:space="preserve">Despesas essenciais + outras despesas.</t>
  </si>
  <si>
    <t xml:space="preserve">Parcelas das dívidas</t>
  </si>
  <si>
    <t xml:space="preserve">Soma das parcelas da aba Minhas dívidas.</t>
  </si>
  <si>
    <t xml:space="preserve">Sobra (ou falta) no mês</t>
  </si>
  <si>
    <t xml:space="preserve">Se ficar vermelho, revise antes de assumir novas parcelas.</t>
  </si>
  <si>
    <t xml:space="preserve">Total que devo hoje</t>
  </si>
  <si>
    <t xml:space="preserve">Soma dos saldos aproximados das dívidas.</t>
  </si>
  <si>
    <t xml:space="preserve">Parte da renda nas parcelas</t>
  </si>
  <si>
    <t xml:space="preserve">Quanto maior, mais apertado fica o mês.</t>
  </si>
  <si>
    <t xml:space="preserve">COMO USAR</t>
  </si>
  <si>
    <t xml:space="preserve">1. Leia o e-book</t>
  </si>
  <si>
    <t xml:space="preserve">Leia um capítulo por vez. Não precisa resolver tudo no mesmo dia.</t>
  </si>
  <si>
    <t xml:space="preserve">2. Preencha “Meu mês”</t>
  </si>
  <si>
    <t xml:space="preserve">Anote quanto entra e quanto sai. Use valores aproximados se ainda não souber os exatos.</t>
  </si>
  <si>
    <t xml:space="preserve">3. Preencha “Minhas dívidas”</t>
  </si>
  <si>
    <t xml:space="preserve">Liste cada dívida separadamente. Se não souber juros ou saldo atualizado, escolha “Preciso confirmar”.</t>
  </si>
  <si>
    <t xml:space="preserve">4. Escolha um próximo passo</t>
  </si>
  <si>
    <t xml:space="preserve">Na aba “Meu plano”, escreva uma ação pequena e uma data para fazê-la.</t>
  </si>
  <si>
    <t xml:space="preserve">5. Revise toda semana</t>
  </si>
  <si>
    <t xml:space="preserve">Atualize quando houver pagamento, mudança de renda ou uma nova informação.</t>
  </si>
  <si>
    <t xml:space="preserve">ENTENDA AS CORES</t>
  </si>
  <si>
    <t xml:space="preserve">Laranja claro</t>
  </si>
  <si>
    <t xml:space="preserve">Você preenche. Clique e digite.</t>
  </si>
  <si>
    <t xml:space="preserve">Cinza</t>
  </si>
  <si>
    <t xml:space="preserve">Calculado sozinho. Fica protegido para não apagar sem querer.</t>
  </si>
  <si>
    <t xml:space="preserve">Setinha ▼</t>
  </si>
  <si>
    <t xml:space="preserve">Clique na célula e escolha uma opção da lista (ex.: Sim / Não).</t>
  </si>
  <si>
    <t xml:space="preserve">DICAS RÁPIDAS</t>
  </si>
  <si>
    <t xml:space="preserve">•  Digite só números nos valores, sem “R$” e sem ponto de milhar. Ex.: 1500 ou 89,90.</t>
  </si>
  <si>
    <t xml:space="preserve">•  Errou? Aperte Ctrl + Z (no celular, a seta de desfazer) para voltar.</t>
  </si>
  <si>
    <t xml:space="preserve">•  Quer mudar algo protegido? Menu Revisão → Desproteger planilha. Não tem senha.</t>
  </si>
  <si>
    <t xml:space="preserve">Lembrete importante: proteja primeiro as necessidades básicas da família, como moradia, alimentação, contas essenciais e saúde. Antes de assumir um novo acordo ou empréstimo, compare o custo total e confirme que a parcela cabe no orçamento.</t>
  </si>
  <si>
    <t xml:space="preserve">Você não precisa compartilhar seus valores com todo mundo. Use a planilha para seu próprio acompanhamento ou com uma pessoa de confiança.</t>
  </si>
  <si>
    <t xml:space="preserve">MEU MÊS</t>
  </si>
  <si>
    <t xml:space="preserve">Anote o que entra e o que sai. Os totais são calculados automaticamente.</t>
  </si>
  <si>
    <t xml:space="preserve">O que vou anotar</t>
  </si>
  <si>
    <t xml:space="preserve">Valor (R$)</t>
  </si>
  <si>
    <t xml:space="preserve">Exemplos / lembretes</t>
  </si>
  <si>
    <t xml:space="preserve">RENDA — dinheiro que entra</t>
  </si>
  <si>
    <t xml:space="preserve">Use o valor líquido que realmente recebe.</t>
  </si>
  <si>
    <t xml:space="preserve">Salário / aposentadoria / benefício</t>
  </si>
  <si>
    <t xml:space="preserve">O dinheiro que entra com regularidade.</t>
  </si>
  <si>
    <t xml:space="preserve">Renda de trabalho por conta própria</t>
  </si>
  <si>
    <t xml:space="preserve">Use uma estimativa cuidadosa se variar.</t>
  </si>
  <si>
    <t xml:space="preserve">Outras entradas</t>
  </si>
  <si>
    <t xml:space="preserve">Inclua apenas dinheiro que realmente espera receber.</t>
  </si>
  <si>
    <t xml:space="preserve">TOTAL DE RENDA</t>
  </si>
  <si>
    <t xml:space="preserve">Calculado automaticamente.</t>
  </si>
  <si>
    <t xml:space="preserve">DESPESAS ESSENCIAIS</t>
  </si>
  <si>
    <t xml:space="preserve">Priorize necessidades básicas da família.</t>
  </si>
  <si>
    <t xml:space="preserve">Moradia (aluguel / prestação)</t>
  </si>
  <si>
    <t xml:space="preserve">Inclua condomínio, se houver.</t>
  </si>
  <si>
    <t xml:space="preserve">Água, luz, gás e telefone essencial</t>
  </si>
  <si>
    <t xml:space="preserve">Use o valor mensal aproximado.</t>
  </si>
  <si>
    <t xml:space="preserve">Alimentação e itens básicos</t>
  </si>
  <si>
    <t xml:space="preserve">Mercado e necessidades domésticas.</t>
  </si>
  <si>
    <t xml:space="preserve">Transporte necessário</t>
  </si>
  <si>
    <t xml:space="preserve">Por exemplo, para trabalhar ou estudar.</t>
  </si>
  <si>
    <t xml:space="preserve">Saúde e medicamentos</t>
  </si>
  <si>
    <t xml:space="preserve">Inclua necessidades recorrentes.</t>
  </si>
  <si>
    <t xml:space="preserve">Filhos / dependentes / escola</t>
  </si>
  <si>
    <t xml:space="preserve">Quando aplicável.</t>
  </si>
  <si>
    <t xml:space="preserve">Outras despesas essenciais</t>
  </si>
  <si>
    <t xml:space="preserve">Explique na coluna de lembretes.</t>
  </si>
  <si>
    <t xml:space="preserve">TOTAL DE DESPESAS ESSENCIAIS</t>
  </si>
  <si>
    <t xml:space="preserve">OUTRAS DESPESAS</t>
  </si>
  <si>
    <t xml:space="preserve">Não coloque parcelas de dívidas aqui — elas entram sozinhas no resumo.</t>
  </si>
  <si>
    <t xml:space="preserve">Assinaturas / serviços</t>
  </si>
  <si>
    <t xml:space="preserve">Avalie se pode reduzir ou cancelar.</t>
  </si>
  <si>
    <t xml:space="preserve">Lazer / compras não essenciais</t>
  </si>
  <si>
    <t xml:space="preserve">Anote sem culpa; use para entender o orçamento.</t>
  </si>
  <si>
    <t xml:space="preserve">Outras despesas</t>
  </si>
  <si>
    <t xml:space="preserve">Descreva na coluna de lembretes.</t>
  </si>
  <si>
    <t xml:space="preserve">TOTAL DE OUTRAS DESPESAS</t>
  </si>
  <si>
    <t xml:space="preserve">RESUMO DO MÊS</t>
  </si>
  <si>
    <t xml:space="preserve">Este resultado ajuda a entender o próximo passo.</t>
  </si>
  <si>
    <t xml:space="preserve">Total de renda</t>
  </si>
  <si>
    <t xml:space="preserve">Menos despesas essenciais</t>
  </si>
  <si>
    <t xml:space="preserve">Menos outras despesas</t>
  </si>
  <si>
    <t xml:space="preserve">Menos parcelas das dívidas</t>
  </si>
  <si>
    <t xml:space="preserve">Vem da aba Minhas dívidas (coluna Parcela atual).</t>
  </si>
  <si>
    <t xml:space="preserve">VALOR QUE SOBRA (OU FALTA)</t>
  </si>
  <si>
    <t xml:space="preserve">Se for negativo, não prometa parcelas que não consegue pagar.</t>
  </si>
  <si>
    <t xml:space="preserve">MINHAS DÍVIDAS</t>
  </si>
  <si>
    <t xml:space="preserve">Uma linha para cada dívida. Se não souber uma informação, escolha ou escreva “Preciso confirmar”.</t>
  </si>
  <si>
    <t xml:space="preserve">Banco / credor</t>
  </si>
  <si>
    <t xml:space="preserve">Saldo aproximado (R$)</t>
  </si>
  <si>
    <t xml:space="preserve">Parcela atual (R$)</t>
  </si>
  <si>
    <t xml:space="preserve">Está atrasada?</t>
  </si>
  <si>
    <t xml:space="preserve">Juros conhecidos?</t>
  </si>
  <si>
    <t xml:space="preserve">Próxima ação</t>
  </si>
  <si>
    <t xml:space="preserve">Observações / protocolo</t>
  </si>
  <si>
    <t xml:space="preserve">TOTAL</t>
  </si>
  <si>
    <t xml:space="preserve">ANTES DE FECHAR UM ACORDO</t>
  </si>
  <si>
    <t xml:space="preserve">Pergunte o valor total do acordo, o número e o valor das parcelas, os juros e o que acontece em caso de atraso. Peça as condições por escrito e anote o protocolo na coluna de observações.</t>
  </si>
  <si>
    <t xml:space="preserve">MEU PLANO DE AÇÃO</t>
  </si>
  <si>
    <t xml:space="preserve">Pequenas ações com data ajudam a sair da paralisia. Comece com o que é possível.</t>
  </si>
  <si>
    <t xml:space="preserve">Quando?</t>
  </si>
  <si>
    <t xml:space="preserve">O que vou fazer?</t>
  </si>
  <si>
    <t xml:space="preserve">Com quem / onde?</t>
  </si>
  <si>
    <t xml:space="preserve">Status</t>
  </si>
  <si>
    <t xml:space="preserve">Anotações</t>
  </si>
  <si>
    <t xml:space="preserve">Esta semana</t>
  </si>
  <si>
    <t xml:space="preserve">Conferir a renda e as despesas</t>
  </si>
  <si>
    <t xml:space="preserve">Não comecei</t>
  </si>
  <si>
    <t xml:space="preserve">Listar todas as dívidas</t>
  </si>
  <si>
    <t xml:space="preserve">Confirmar o saldo de uma dívida</t>
  </si>
  <si>
    <t xml:space="preserve">Próximas 2 semanas</t>
  </si>
  <si>
    <t xml:space="preserve">Pedir proposta ao credor por canal oficial</t>
  </si>
  <si>
    <t xml:space="preserve">Rever uma despesa que pode ser ajustada</t>
  </si>
  <si>
    <t xml:space="preserve">Este mês</t>
  </si>
  <si>
    <t xml:space="preserve">Avaliar uma oportunidade segura de renda extra</t>
  </si>
  <si>
    <t xml:space="preserve">Todo mês</t>
  </si>
  <si>
    <t xml:space="preserve">Revisar o orçamento</t>
  </si>
  <si>
    <t xml:space="preserve">MEU PROGRESSO</t>
  </si>
  <si>
    <t xml:space="preserve">Lembre-se: o objetivo não é resolver tudo em um dia. É dar um passo possível, revisar o plano e continuar com esperança e responsabilidade.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</si>
</sst>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[RED]&quot;-R$ &quot;#,##0.00"/>
    <numFmt numFmtId="166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97316"/>
      <name val="Arial"/>
      <family val="0"/>
      <charset val="1"/>
    </font>
    <font>
      <sz val="12"/>
      <color rgb="FF1F1F1F"/>
      <name val="Arial"/>
      <family val="0"/>
      <charset val="1"/>
    </font>
    <font>
      <b val="true"/>
      <sz val="12"/>
      <color rgb="FFF97316"/>
      <name val="Arial"/>
      <family val="0"/>
      <charset val="1"/>
    </font>
    <font>
      <i val="true"/>
      <sz val="10"/>
      <color rgb="FFD4D4D4"/>
      <name val="Arial"/>
      <family val="0"/>
      <charset val="1"/>
    </font>
    <font>
      <b val="true"/>
      <sz val="12"/>
      <color rgb="FF262626"/>
      <name val="Arial"/>
      <family val="0"/>
      <charset val="1"/>
    </font>
    <font>
      <b val="true"/>
      <sz val="13"/>
      <color rgb="FF111111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2"/>
      <color rgb="FF111111"/>
      <name val="Arial"/>
      <family val="0"/>
      <charset val="1"/>
    </font>
    <font>
      <b val="true"/>
      <sz val="12"/>
      <color rgb="FFC2410C"/>
      <name val="Arial"/>
      <family val="0"/>
      <charset val="1"/>
    </font>
    <font>
      <sz val="12"/>
      <color rgb="FF262626"/>
      <name val="Arial"/>
      <family val="0"/>
      <charset val="1"/>
    </font>
    <font>
      <sz val="11"/>
      <color rgb="FF7C2D12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111111"/>
      <name val="Arial"/>
      <family val="0"/>
      <charset val="1"/>
    </font>
    <font>
      <b val="true"/>
      <sz val="13"/>
      <color rgb="FFF9731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D4D4D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11111"/>
        <bgColor rgb="FF1F1F1F"/>
      </patternFill>
    </fill>
    <fill>
      <patternFill patternType="solid">
        <fgColor rgb="FFF97316"/>
        <bgColor rgb="FFFF9900"/>
      </patternFill>
    </fill>
    <fill>
      <patternFill patternType="solid">
        <fgColor rgb="FFFFF8F2"/>
        <bgColor rgb="FFFFF1E6"/>
      </patternFill>
    </fill>
    <fill>
      <patternFill patternType="solid">
        <fgColor rgb="FF1F1F1F"/>
        <bgColor rgb="FF262626"/>
      </patternFill>
    </fill>
    <fill>
      <patternFill patternType="solid">
        <fgColor rgb="FFEFEFEF"/>
        <bgColor rgb="FFFFF1E6"/>
      </patternFill>
    </fill>
    <fill>
      <patternFill patternType="solid">
        <fgColor rgb="FFFFF1E6"/>
        <bgColor rgb="FFFFF8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F6B98C"/>
      </left>
      <right style="thin">
        <color rgb="FFF6B98C"/>
      </right>
      <top style="thin">
        <color rgb="FFF6B98C"/>
      </top>
      <bottom style="thin">
        <color rgb="FFF6B9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5" fontId="11" fillId="7" borderId="2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4" fontId="8" fillId="6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17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0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991B1B"/>
        <sz val="13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  <sz val="13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91B1B"/>
        <sz val="14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  <sz val="14"/>
      </font>
      <fill>
        <patternFill>
          <bgColor rgb="FFDCFCE7"/>
        </patternFill>
      </fill>
    </dxf>
    <dxf>
      <font>
        <name val="Arial"/>
        <charset val="1"/>
        <family val="0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strike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A3412"/>
      </font>
      <fill>
        <patternFill>
          <bgColor rgb="FFFED7AA"/>
        </patternFill>
      </fill>
    </dxf>
    <dxf>
      <font>
        <name val="Arial"/>
        <charset val="1"/>
        <family val="0"/>
        <strike val="1"/>
        <color rgb="FF8A8A8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D9D9D9"/>
      <rgbColor rgb="FF8A8A8A"/>
      <rgbColor rgb="FF9999FF"/>
      <rgbColor rgb="FF7C2D12"/>
      <rgbColor rgb="FFFFF8F2"/>
      <rgbColor rgb="FFDCFCE7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EE2E2"/>
      <rgbColor rgb="FFFFF1E6"/>
      <rgbColor rgb="FF99CCFF"/>
      <rgbColor rgb="FFF6B98C"/>
      <rgbColor rgb="FFCC99FF"/>
      <rgbColor rgb="FFFED7AA"/>
      <rgbColor rgb="FF3366FF"/>
      <rgbColor rgb="FF33CCCC"/>
      <rgbColor rgb="FF99CC00"/>
      <rgbColor rgb="FFFFCC00"/>
      <rgbColor rgb="FFFF9900"/>
      <rgbColor rgb="FFF97316"/>
      <rgbColor rgb="FF6B6B6B"/>
      <rgbColor rgb="FF969696"/>
      <rgbColor rgb="FF003366"/>
      <rgbColor rgb="FF339966"/>
      <rgbColor rgb="FF111111"/>
      <rgbColor rgb="FF1F1F1F"/>
      <rgbColor rgb="FF9A3412"/>
      <rgbColor rgb="FFC2410C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2514600</xdr:colOff>
      <xdr:row>0</xdr:row>
      <xdr:rowOff>114480</xdr:rowOff>
    </xdr:from>
    <xdr:to>
      <xdr:col>2</xdr:col>
      <xdr:colOff>4181040</xdr:colOff>
      <xdr:row>0</xdr:row>
      <xdr:rowOff>723600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743880" y="114480"/>
          <a:ext cx="166644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2381400</xdr:colOff>
      <xdr:row>0</xdr:row>
      <xdr:rowOff>114480</xdr:rowOff>
    </xdr:from>
    <xdr:to>
      <xdr:col>2</xdr:col>
      <xdr:colOff>4047840</xdr:colOff>
      <xdr:row>0</xdr:row>
      <xdr:rowOff>723600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6892560" y="114480"/>
          <a:ext cx="166644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1181160</xdr:colOff>
      <xdr:row>0</xdr:row>
      <xdr:rowOff>114480</xdr:rowOff>
    </xdr:from>
    <xdr:to>
      <xdr:col>6</xdr:col>
      <xdr:colOff>2847600</xdr:colOff>
      <xdr:row>0</xdr:row>
      <xdr:rowOff>723600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0626120" y="114480"/>
          <a:ext cx="166644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1181160</xdr:colOff>
      <xdr:row>0</xdr:row>
      <xdr:rowOff>114480</xdr:rowOff>
    </xdr:from>
    <xdr:to>
      <xdr:col>4</xdr:col>
      <xdr:colOff>2847600</xdr:colOff>
      <xdr:row>0</xdr:row>
      <xdr:rowOff>723600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9357480" y="114480"/>
          <a:ext cx="166644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64"/>
  </cols>
  <sheetData>
    <row r="1" customFormat="false" ht="66" hidden="false" customHeight="true" outlineLevel="0" collapsed="false">
      <c r="A1" s="1" t="s">
        <v>0</v>
      </c>
      <c r="B1" s="1"/>
      <c r="C1" s="1"/>
    </row>
    <row r="2" customFormat="false" ht="4.5" hidden="false" customHeight="true" outlineLevel="0" collapsed="false">
      <c r="A2" s="2"/>
      <c r="B2" s="2"/>
      <c r="C2" s="2"/>
    </row>
    <row r="3" customFormat="false" ht="33.75" hidden="false" customHeight="true" outlineLevel="0" collapsed="false">
      <c r="A3" s="3" t="s">
        <v>1</v>
      </c>
      <c r="B3" s="3"/>
      <c r="C3" s="3"/>
    </row>
    <row r="5" customFormat="false" ht="25.5" hidden="false" customHeight="true" outlineLevel="0" collapsed="false">
      <c r="A5" s="4" t="s">
        <v>2</v>
      </c>
      <c r="B5" s="5"/>
      <c r="C5" s="6" t="s">
        <v>3</v>
      </c>
    </row>
    <row r="6" customFormat="false" ht="30" hidden="false" customHeight="true" outlineLevel="0" collapsed="false">
      <c r="A6" s="7" t="s">
        <v>4</v>
      </c>
      <c r="B6" s="8" t="n">
        <f aca="false">'Meu mês'!B10</f>
        <v>0</v>
      </c>
      <c r="C6" s="9" t="s">
        <v>5</v>
      </c>
    </row>
    <row r="7" customFormat="false" ht="30" hidden="false" customHeight="true" outlineLevel="0" collapsed="false">
      <c r="A7" s="7" t="s">
        <v>6</v>
      </c>
      <c r="B7" s="8" t="n">
        <f aca="false">'Meu mês'!B20+'Meu mês'!B26</f>
        <v>0</v>
      </c>
      <c r="C7" s="9" t="s">
        <v>7</v>
      </c>
    </row>
    <row r="8" customFormat="false" ht="30" hidden="false" customHeight="true" outlineLevel="0" collapsed="false">
      <c r="A8" s="7" t="s">
        <v>8</v>
      </c>
      <c r="B8" s="8" t="n">
        <f aca="false">'Minhas dívidas'!C18</f>
        <v>0</v>
      </c>
      <c r="C8" s="9" t="s">
        <v>9</v>
      </c>
    </row>
    <row r="9" customFormat="false" ht="30" hidden="false" customHeight="true" outlineLevel="0" collapsed="false">
      <c r="A9" s="7" t="s">
        <v>10</v>
      </c>
      <c r="B9" s="8" t="n">
        <f aca="false">'Meu mês'!B33</f>
        <v>0</v>
      </c>
      <c r="C9" s="9" t="s">
        <v>11</v>
      </c>
    </row>
    <row r="10" customFormat="false" ht="30" hidden="false" customHeight="true" outlineLevel="0" collapsed="false">
      <c r="A10" s="7" t="s">
        <v>12</v>
      </c>
      <c r="B10" s="8" t="n">
        <f aca="false">'Minhas dívidas'!B18</f>
        <v>0</v>
      </c>
      <c r="C10" s="9" t="s">
        <v>13</v>
      </c>
    </row>
    <row r="11" customFormat="false" ht="30" hidden="false" customHeight="true" outlineLevel="0" collapsed="false">
      <c r="A11" s="7" t="s">
        <v>14</v>
      </c>
      <c r="B11" s="10" t="n">
        <f aca="false">IF('Meu mês'!B10&gt;0,'Minhas dívidas'!C18/'Meu mês'!B10,0)</f>
        <v>0</v>
      </c>
      <c r="C11" s="9" t="s">
        <v>15</v>
      </c>
    </row>
    <row r="12" customFormat="false" ht="33.75" hidden="false" customHeight="true" outlineLevel="0" collapsed="false">
      <c r="A12" s="11" t="str">
        <f aca="false">IF('Meu mês'!B10=0,"👉 Comece preenchendo a aba Meu mês — o resumo aparece aqui.",IF('Meu mês'!B33&gt;=0,"✅ As contas cabem no mês. Continue acompanhando toda semana.","⚠️ Está faltando dinheiro no mês. Proteja o essencial e negocie antes de assumir novas parcelas."))</f>
        <v>👉 Comece preenchendo a aba Meu mês — o resumo aparece aqui.</v>
      </c>
      <c r="B12" s="11"/>
      <c r="C12" s="11"/>
    </row>
    <row r="14" customFormat="false" ht="25.5" hidden="false" customHeight="true" outlineLevel="0" collapsed="false">
      <c r="A14" s="4" t="s">
        <v>16</v>
      </c>
      <c r="B14" s="5"/>
      <c r="C14" s="5"/>
    </row>
    <row r="15" customFormat="false" ht="31.5" hidden="false" customHeight="true" outlineLevel="0" collapsed="false">
      <c r="A15" s="12" t="s">
        <v>17</v>
      </c>
      <c r="B15" s="13" t="s">
        <v>18</v>
      </c>
      <c r="C15" s="13"/>
    </row>
    <row r="16" customFormat="false" ht="31.5" hidden="false" customHeight="true" outlineLevel="0" collapsed="false">
      <c r="A16" s="12" t="s">
        <v>19</v>
      </c>
      <c r="B16" s="13" t="s">
        <v>20</v>
      </c>
      <c r="C16" s="13"/>
    </row>
    <row r="17" customFormat="false" ht="31.5" hidden="false" customHeight="true" outlineLevel="0" collapsed="false">
      <c r="A17" s="12" t="s">
        <v>21</v>
      </c>
      <c r="B17" s="13" t="s">
        <v>22</v>
      </c>
      <c r="C17" s="13"/>
    </row>
    <row r="18" customFormat="false" ht="31.5" hidden="false" customHeight="true" outlineLevel="0" collapsed="false">
      <c r="A18" s="12" t="s">
        <v>23</v>
      </c>
      <c r="B18" s="13" t="s">
        <v>24</v>
      </c>
      <c r="C18" s="13"/>
    </row>
    <row r="19" customFormat="false" ht="31.5" hidden="false" customHeight="true" outlineLevel="0" collapsed="false">
      <c r="A19" s="12" t="s">
        <v>25</v>
      </c>
      <c r="B19" s="13" t="s">
        <v>26</v>
      </c>
      <c r="C19" s="13"/>
    </row>
    <row r="21" customFormat="false" ht="25.5" hidden="false" customHeight="true" outlineLevel="0" collapsed="false">
      <c r="A21" s="4" t="s">
        <v>27</v>
      </c>
      <c r="B21" s="5"/>
      <c r="C21" s="5"/>
    </row>
    <row r="22" customFormat="false" ht="27.75" hidden="false" customHeight="true" outlineLevel="0" collapsed="false">
      <c r="A22" s="14" t="s">
        <v>28</v>
      </c>
      <c r="B22" s="13" t="s">
        <v>29</v>
      </c>
      <c r="C22" s="13"/>
    </row>
    <row r="23" customFormat="false" ht="27.75" hidden="false" customHeight="true" outlineLevel="0" collapsed="false">
      <c r="A23" s="15" t="s">
        <v>30</v>
      </c>
      <c r="B23" s="13" t="s">
        <v>31</v>
      </c>
      <c r="C23" s="13"/>
    </row>
    <row r="24" customFormat="false" ht="27.75" hidden="false" customHeight="true" outlineLevel="0" collapsed="false">
      <c r="A24" s="14" t="s">
        <v>32</v>
      </c>
      <c r="B24" s="13" t="s">
        <v>33</v>
      </c>
      <c r="C24" s="13"/>
    </row>
    <row r="26" customFormat="false" ht="25.5" hidden="false" customHeight="true" outlineLevel="0" collapsed="false">
      <c r="A26" s="4" t="s">
        <v>34</v>
      </c>
      <c r="B26" s="5"/>
      <c r="C26" s="5"/>
    </row>
    <row r="27" customFormat="false" ht="25.5" hidden="false" customHeight="true" outlineLevel="0" collapsed="false">
      <c r="A27" s="13" t="s">
        <v>35</v>
      </c>
      <c r="B27" s="13"/>
      <c r="C27" s="13"/>
    </row>
    <row r="28" customFormat="false" ht="25.5" hidden="false" customHeight="true" outlineLevel="0" collapsed="false">
      <c r="A28" s="13" t="s">
        <v>36</v>
      </c>
      <c r="B28" s="13"/>
      <c r="C28" s="13"/>
    </row>
    <row r="29" customFormat="false" ht="25.5" hidden="false" customHeight="true" outlineLevel="0" collapsed="false">
      <c r="A29" s="13" t="s">
        <v>37</v>
      </c>
      <c r="B29" s="13"/>
      <c r="C29" s="13"/>
    </row>
    <row r="31" customFormat="false" ht="36" hidden="false" customHeight="true" outlineLevel="0" collapsed="false">
      <c r="A31" s="16" t="s">
        <v>38</v>
      </c>
      <c r="B31" s="16"/>
      <c r="C31" s="16"/>
    </row>
    <row r="32" customFormat="false" ht="15" hidden="false" customHeight="false" outlineLevel="0" collapsed="false">
      <c r="A32" s="16"/>
      <c r="B32" s="16"/>
      <c r="C32" s="16"/>
    </row>
    <row r="34" customFormat="false" ht="30" hidden="false" customHeight="true" outlineLevel="0" collapsed="false">
      <c r="A34" s="17" t="s">
        <v>39</v>
      </c>
      <c r="B34" s="17"/>
      <c r="C34" s="17"/>
    </row>
    <row r="35" customFormat="false" ht="15" hidden="false" customHeight="false" outlineLevel="0" collapsed="false">
      <c r="A35" s="17"/>
      <c r="B35" s="17"/>
      <c r="C35" s="17"/>
    </row>
  </sheetData>
  <sheetProtection sheet="true" formatColumns="false" formatRows="false"/>
  <mergeCells count="16">
    <mergeCell ref="A1:C1"/>
    <mergeCell ref="A3:C3"/>
    <mergeCell ref="A12:C12"/>
    <mergeCell ref="B15:C15"/>
    <mergeCell ref="B16:C16"/>
    <mergeCell ref="B17:C17"/>
    <mergeCell ref="B18:C18"/>
    <mergeCell ref="B19:C19"/>
    <mergeCell ref="B22:C22"/>
    <mergeCell ref="B23:C23"/>
    <mergeCell ref="B24:C24"/>
    <mergeCell ref="A27:C27"/>
    <mergeCell ref="A28:C28"/>
    <mergeCell ref="A29:C29"/>
    <mergeCell ref="A31:C32"/>
    <mergeCell ref="A34:C35"/>
  </mergeCells>
  <conditionalFormatting sqref="B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A12:C12">
    <cfRule type="expression" priority="4" aboveAverage="0" equalAverage="0" bottom="0" percent="0" rank="0" text="" dxfId="2">
      <formula>'Meu mês'!$B$33&lt;0</formula>
    </cfRule>
    <cfRule type="expression" priority="5" aboveAverage="0" equalAverage="0" bottom="0" percent="0" rank="0" text="" dxfId="3">
      <formula>AND('Meu mês'!$B$10&gt;0,'Meu mês'!$B$33&gt;=0)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62"/>
  </cols>
  <sheetData>
    <row r="1" customFormat="false" ht="66" hidden="false" customHeight="true" outlineLevel="0" collapsed="false">
      <c r="A1" s="1" t="s">
        <v>40</v>
      </c>
      <c r="B1" s="1"/>
      <c r="C1" s="1"/>
    </row>
    <row r="2" customFormat="false" ht="4.5" hidden="false" customHeight="true" outlineLevel="0" collapsed="false">
      <c r="A2" s="2"/>
      <c r="B2" s="2"/>
      <c r="C2" s="2"/>
    </row>
    <row r="3" customFormat="false" ht="33.75" hidden="false" customHeight="true" outlineLevel="0" collapsed="false">
      <c r="A3" s="3" t="s">
        <v>41</v>
      </c>
      <c r="B3" s="3"/>
      <c r="C3" s="3"/>
    </row>
    <row r="5" customFormat="false" ht="30" hidden="false" customHeight="true" outlineLevel="0" collapsed="false">
      <c r="A5" s="18" t="s">
        <v>42</v>
      </c>
      <c r="B5" s="19" t="s">
        <v>43</v>
      </c>
      <c r="C5" s="19" t="s">
        <v>44</v>
      </c>
    </row>
    <row r="6" customFormat="false" ht="25.5" hidden="false" customHeight="true" outlineLevel="0" collapsed="false">
      <c r="A6" s="4" t="s">
        <v>45</v>
      </c>
      <c r="B6" s="5"/>
      <c r="C6" s="6" t="s">
        <v>46</v>
      </c>
    </row>
    <row r="7" customFormat="false" ht="25.5" hidden="false" customHeight="true" outlineLevel="0" collapsed="false">
      <c r="A7" s="20" t="s">
        <v>47</v>
      </c>
      <c r="B7" s="21"/>
      <c r="C7" s="9" t="s">
        <v>48</v>
      </c>
    </row>
    <row r="8" customFormat="false" ht="25.5" hidden="false" customHeight="true" outlineLevel="0" collapsed="false">
      <c r="A8" s="20" t="s">
        <v>49</v>
      </c>
      <c r="B8" s="21"/>
      <c r="C8" s="9" t="s">
        <v>50</v>
      </c>
    </row>
    <row r="9" customFormat="false" ht="25.5" hidden="false" customHeight="true" outlineLevel="0" collapsed="false">
      <c r="A9" s="20" t="s">
        <v>51</v>
      </c>
      <c r="B9" s="21"/>
      <c r="C9" s="9" t="s">
        <v>52</v>
      </c>
    </row>
    <row r="10" customFormat="false" ht="27.75" hidden="false" customHeight="true" outlineLevel="0" collapsed="false">
      <c r="A10" s="22" t="s">
        <v>53</v>
      </c>
      <c r="B10" s="23" t="n">
        <f aca="false">SUM(B7:B9)</f>
        <v>0</v>
      </c>
      <c r="C10" s="24" t="s">
        <v>54</v>
      </c>
    </row>
    <row r="12" customFormat="false" ht="25.5" hidden="false" customHeight="true" outlineLevel="0" collapsed="false">
      <c r="A12" s="4" t="s">
        <v>55</v>
      </c>
      <c r="B12" s="5"/>
      <c r="C12" s="6" t="s">
        <v>56</v>
      </c>
    </row>
    <row r="13" customFormat="false" ht="25.5" hidden="false" customHeight="true" outlineLevel="0" collapsed="false">
      <c r="A13" s="20" t="s">
        <v>57</v>
      </c>
      <c r="B13" s="21"/>
      <c r="C13" s="9" t="s">
        <v>58</v>
      </c>
    </row>
    <row r="14" customFormat="false" ht="25.5" hidden="false" customHeight="true" outlineLevel="0" collapsed="false">
      <c r="A14" s="20" t="s">
        <v>59</v>
      </c>
      <c r="B14" s="21"/>
      <c r="C14" s="9" t="s">
        <v>60</v>
      </c>
    </row>
    <row r="15" customFormat="false" ht="25.5" hidden="false" customHeight="true" outlineLevel="0" collapsed="false">
      <c r="A15" s="20" t="s">
        <v>61</v>
      </c>
      <c r="B15" s="21"/>
      <c r="C15" s="9" t="s">
        <v>62</v>
      </c>
    </row>
    <row r="16" customFormat="false" ht="25.5" hidden="false" customHeight="true" outlineLevel="0" collapsed="false">
      <c r="A16" s="20" t="s">
        <v>63</v>
      </c>
      <c r="B16" s="21"/>
      <c r="C16" s="9" t="s">
        <v>64</v>
      </c>
    </row>
    <row r="17" customFormat="false" ht="25.5" hidden="false" customHeight="true" outlineLevel="0" collapsed="false">
      <c r="A17" s="20" t="s">
        <v>65</v>
      </c>
      <c r="B17" s="21"/>
      <c r="C17" s="9" t="s">
        <v>66</v>
      </c>
    </row>
    <row r="18" customFormat="false" ht="25.5" hidden="false" customHeight="true" outlineLevel="0" collapsed="false">
      <c r="A18" s="20" t="s">
        <v>67</v>
      </c>
      <c r="B18" s="21"/>
      <c r="C18" s="9" t="s">
        <v>68</v>
      </c>
    </row>
    <row r="19" customFormat="false" ht="25.5" hidden="false" customHeight="true" outlineLevel="0" collapsed="false">
      <c r="A19" s="20" t="s">
        <v>69</v>
      </c>
      <c r="B19" s="21"/>
      <c r="C19" s="9" t="s">
        <v>70</v>
      </c>
    </row>
    <row r="20" customFormat="false" ht="27.75" hidden="false" customHeight="true" outlineLevel="0" collapsed="false">
      <c r="A20" s="22" t="s">
        <v>71</v>
      </c>
      <c r="B20" s="23" t="n">
        <f aca="false">SUM(B13:B19)</f>
        <v>0</v>
      </c>
      <c r="C20" s="24" t="s">
        <v>54</v>
      </c>
    </row>
    <row r="22" customFormat="false" ht="25.5" hidden="false" customHeight="true" outlineLevel="0" collapsed="false">
      <c r="A22" s="4" t="s">
        <v>72</v>
      </c>
      <c r="B22" s="5"/>
      <c r="C22" s="6" t="s">
        <v>73</v>
      </c>
    </row>
    <row r="23" customFormat="false" ht="25.5" hidden="false" customHeight="true" outlineLevel="0" collapsed="false">
      <c r="A23" s="20" t="s">
        <v>74</v>
      </c>
      <c r="B23" s="21"/>
      <c r="C23" s="9" t="s">
        <v>75</v>
      </c>
    </row>
    <row r="24" customFormat="false" ht="25.5" hidden="false" customHeight="true" outlineLevel="0" collapsed="false">
      <c r="A24" s="20" t="s">
        <v>76</v>
      </c>
      <c r="B24" s="21"/>
      <c r="C24" s="9" t="s">
        <v>77</v>
      </c>
    </row>
    <row r="25" customFormat="false" ht="25.5" hidden="false" customHeight="true" outlineLevel="0" collapsed="false">
      <c r="A25" s="20" t="s">
        <v>78</v>
      </c>
      <c r="B25" s="21"/>
      <c r="C25" s="9" t="s">
        <v>79</v>
      </c>
    </row>
    <row r="26" customFormat="false" ht="27.75" hidden="false" customHeight="true" outlineLevel="0" collapsed="false">
      <c r="A26" s="22" t="s">
        <v>80</v>
      </c>
      <c r="B26" s="23" t="n">
        <f aca="false">SUM(B23:B25)</f>
        <v>0</v>
      </c>
      <c r="C26" s="24" t="s">
        <v>54</v>
      </c>
    </row>
    <row r="28" customFormat="false" ht="25.5" hidden="false" customHeight="true" outlineLevel="0" collapsed="false">
      <c r="A28" s="4" t="s">
        <v>81</v>
      </c>
      <c r="B28" s="5"/>
      <c r="C28" s="6" t="s">
        <v>82</v>
      </c>
    </row>
    <row r="29" customFormat="false" ht="25.5" hidden="false" customHeight="true" outlineLevel="0" collapsed="false">
      <c r="A29" s="20" t="s">
        <v>83</v>
      </c>
      <c r="B29" s="25" t="n">
        <f aca="false">B10</f>
        <v>0</v>
      </c>
      <c r="C29" s="9" t="s">
        <v>54</v>
      </c>
    </row>
    <row r="30" customFormat="false" ht="25.5" hidden="false" customHeight="true" outlineLevel="0" collapsed="false">
      <c r="A30" s="20" t="s">
        <v>84</v>
      </c>
      <c r="B30" s="25" t="n">
        <f aca="false">-B20</f>
        <v>-0</v>
      </c>
      <c r="C30" s="9" t="s">
        <v>54</v>
      </c>
    </row>
    <row r="31" customFormat="false" ht="25.5" hidden="false" customHeight="true" outlineLevel="0" collapsed="false">
      <c r="A31" s="20" t="s">
        <v>85</v>
      </c>
      <c r="B31" s="25" t="n">
        <f aca="false">-B26</f>
        <v>-0</v>
      </c>
      <c r="C31" s="9" t="s">
        <v>54</v>
      </c>
    </row>
    <row r="32" customFormat="false" ht="25.5" hidden="false" customHeight="true" outlineLevel="0" collapsed="false">
      <c r="A32" s="20" t="s">
        <v>86</v>
      </c>
      <c r="B32" s="25" t="n">
        <f aca="false">-'Minhas dívidas'!C18</f>
        <v>-0</v>
      </c>
      <c r="C32" s="9" t="s">
        <v>87</v>
      </c>
    </row>
    <row r="33" customFormat="false" ht="33.75" hidden="false" customHeight="true" outlineLevel="0" collapsed="false">
      <c r="A33" s="26" t="s">
        <v>88</v>
      </c>
      <c r="B33" s="27" t="n">
        <f aca="false">SUM(B29:B32)</f>
        <v>0</v>
      </c>
      <c r="C33" s="28" t="s">
        <v>89</v>
      </c>
    </row>
  </sheetData>
  <sheetProtection sheet="true" formatColumns="false" formatRows="false"/>
  <mergeCells count="2">
    <mergeCell ref="A1:C1"/>
    <mergeCell ref="A3:C3"/>
  </mergeCells>
  <conditionalFormatting sqref="B33">
    <cfRule type="cellIs" priority="2" operator="lessThan" aboveAverage="0" equalAverage="0" bottom="0" percent="0" rank="0" text="" dxfId="4">
      <formula>0</formula>
    </cfRule>
    <cfRule type="cellIs" priority="3" operator="greaterThan" aboveAverage="0" equalAverage="0" bottom="0" percent="0" rank="0" text="" dxfId="5">
      <formula>0</formula>
    </cfRule>
  </conditionalFormatting>
  <dataValidations count="1">
    <dataValidation allowBlank="true" error="Digite apenas o valor em números, sem R$. Exemplo: 1500 ou 89,90" errorStyle="stop" errorTitle="Só números" operator="greaterThanOrEqual" prompt="Só o número, sem R$. Ex.: 1500 ou 89,90" promptTitle="Digite o valor" showDropDown="false" showErrorMessage="true" showInputMessage="true" sqref="B7:B9 B13:B19 B23:B25" type="decimal">
      <formula1>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44"/>
  </cols>
  <sheetData>
    <row r="1" customFormat="false" ht="66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33.75" hidden="false" customHeight="true" outlineLevel="0" collapsed="false">
      <c r="A3" s="3" t="s">
        <v>91</v>
      </c>
      <c r="B3" s="3"/>
      <c r="C3" s="3"/>
      <c r="D3" s="3"/>
      <c r="E3" s="3"/>
      <c r="F3" s="3"/>
      <c r="G3" s="3"/>
    </row>
    <row r="5" customFormat="false" ht="30" hidden="false" customHeight="true" outlineLevel="0" collapsed="false">
      <c r="A5" s="18" t="s">
        <v>92</v>
      </c>
      <c r="B5" s="19" t="s">
        <v>93</v>
      </c>
      <c r="C5" s="19" t="s">
        <v>94</v>
      </c>
      <c r="D5" s="19" t="s">
        <v>95</v>
      </c>
      <c r="E5" s="19" t="s">
        <v>96</v>
      </c>
      <c r="F5" s="19" t="s">
        <v>97</v>
      </c>
      <c r="G5" s="19" t="s">
        <v>98</v>
      </c>
    </row>
    <row r="6" customFormat="false" ht="25.5" hidden="false" customHeight="true" outlineLevel="0" collapsed="false">
      <c r="A6" s="29"/>
      <c r="B6" s="21"/>
      <c r="C6" s="21"/>
      <c r="D6" s="30"/>
      <c r="E6" s="30"/>
      <c r="F6" s="29"/>
      <c r="G6" s="29"/>
    </row>
    <row r="7" customFormat="false" ht="25.5" hidden="false" customHeight="true" outlineLevel="0" collapsed="false">
      <c r="A7" s="29"/>
      <c r="B7" s="21"/>
      <c r="C7" s="21"/>
      <c r="D7" s="30"/>
      <c r="E7" s="30"/>
      <c r="F7" s="29"/>
      <c r="G7" s="29"/>
    </row>
    <row r="8" customFormat="false" ht="25.5" hidden="false" customHeight="true" outlineLevel="0" collapsed="false">
      <c r="A8" s="29"/>
      <c r="B8" s="21"/>
      <c r="C8" s="21"/>
      <c r="D8" s="30"/>
      <c r="E8" s="30"/>
      <c r="F8" s="29"/>
      <c r="G8" s="29"/>
    </row>
    <row r="9" customFormat="false" ht="25.5" hidden="false" customHeight="true" outlineLevel="0" collapsed="false">
      <c r="A9" s="29"/>
      <c r="B9" s="21"/>
      <c r="C9" s="21"/>
      <c r="D9" s="30"/>
      <c r="E9" s="30"/>
      <c r="F9" s="29"/>
      <c r="G9" s="29"/>
    </row>
    <row r="10" customFormat="false" ht="25.5" hidden="false" customHeight="true" outlineLevel="0" collapsed="false">
      <c r="A10" s="29"/>
      <c r="B10" s="21"/>
      <c r="C10" s="21"/>
      <c r="D10" s="30"/>
      <c r="E10" s="30"/>
      <c r="F10" s="29"/>
      <c r="G10" s="29"/>
    </row>
    <row r="11" customFormat="false" ht="25.5" hidden="false" customHeight="true" outlineLevel="0" collapsed="false">
      <c r="A11" s="29"/>
      <c r="B11" s="21"/>
      <c r="C11" s="21"/>
      <c r="D11" s="30"/>
      <c r="E11" s="30"/>
      <c r="F11" s="29"/>
      <c r="G11" s="29"/>
    </row>
    <row r="12" customFormat="false" ht="25.5" hidden="false" customHeight="true" outlineLevel="0" collapsed="false">
      <c r="A12" s="29"/>
      <c r="B12" s="21"/>
      <c r="C12" s="21"/>
      <c r="D12" s="30"/>
      <c r="E12" s="30"/>
      <c r="F12" s="29"/>
      <c r="G12" s="29"/>
    </row>
    <row r="13" customFormat="false" ht="25.5" hidden="false" customHeight="true" outlineLevel="0" collapsed="false">
      <c r="A13" s="29"/>
      <c r="B13" s="21"/>
      <c r="C13" s="21"/>
      <c r="D13" s="30"/>
      <c r="E13" s="30"/>
      <c r="F13" s="29"/>
      <c r="G13" s="29"/>
    </row>
    <row r="14" customFormat="false" ht="25.5" hidden="false" customHeight="true" outlineLevel="0" collapsed="false">
      <c r="A14" s="29"/>
      <c r="B14" s="21"/>
      <c r="C14" s="21"/>
      <c r="D14" s="30"/>
      <c r="E14" s="30"/>
      <c r="F14" s="29"/>
      <c r="G14" s="29"/>
    </row>
    <row r="15" customFormat="false" ht="25.5" hidden="false" customHeight="true" outlineLevel="0" collapsed="false">
      <c r="A15" s="29"/>
      <c r="B15" s="21"/>
      <c r="C15" s="21"/>
      <c r="D15" s="30"/>
      <c r="E15" s="30"/>
      <c r="F15" s="29"/>
      <c r="G15" s="29"/>
    </row>
    <row r="16" customFormat="false" ht="25.5" hidden="false" customHeight="true" outlineLevel="0" collapsed="false">
      <c r="A16" s="29"/>
      <c r="B16" s="21"/>
      <c r="C16" s="21"/>
      <c r="D16" s="30"/>
      <c r="E16" s="30"/>
      <c r="F16" s="29"/>
      <c r="G16" s="29"/>
    </row>
    <row r="17" customFormat="false" ht="25.5" hidden="false" customHeight="true" outlineLevel="0" collapsed="false">
      <c r="A17" s="29"/>
      <c r="B17" s="21"/>
      <c r="C17" s="21"/>
      <c r="D17" s="30"/>
      <c r="E17" s="30"/>
      <c r="F17" s="29"/>
      <c r="G17" s="29"/>
    </row>
    <row r="18" customFormat="false" ht="30" hidden="false" customHeight="true" outlineLevel="0" collapsed="false">
      <c r="A18" s="26" t="s">
        <v>99</v>
      </c>
      <c r="B18" s="31" t="n">
        <f aca="false">SUM(B6:B17)</f>
        <v>0</v>
      </c>
      <c r="C18" s="31" t="n">
        <f aca="false">SUM(C6:C17)</f>
        <v>0</v>
      </c>
      <c r="D18" s="32" t="str">
        <f aca="false">COUNTIF(D6:D17,"Sim")&amp;" atrasada(s)"</f>
        <v>0 atrasada(s)</v>
      </c>
      <c r="E18" s="33"/>
      <c r="F18" s="34" t="str">
        <f aca="false">COUNTA(A6:A17)&amp;" dívida(s) anotada(s)"</f>
        <v>0 dívida(s) anotada(s)</v>
      </c>
      <c r="G18" s="33"/>
    </row>
    <row r="20" customFormat="false" ht="25.5" hidden="false" customHeight="true" outlineLevel="0" collapsed="false">
      <c r="A20" s="4" t="s">
        <v>100</v>
      </c>
      <c r="B20" s="5"/>
      <c r="C20" s="5"/>
      <c r="D20" s="5"/>
      <c r="E20" s="5"/>
      <c r="F20" s="5"/>
      <c r="G20" s="5"/>
    </row>
    <row r="21" customFormat="false" ht="33.75" hidden="false" customHeight="true" outlineLevel="0" collapsed="false">
      <c r="A21" s="16" t="s">
        <v>101</v>
      </c>
      <c r="B21" s="16"/>
      <c r="C21" s="16"/>
      <c r="D21" s="16"/>
      <c r="E21" s="16"/>
      <c r="F21" s="16"/>
      <c r="G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</row>
  </sheetData>
  <sheetProtection sheet="true" formatColumns="false" formatRows="false"/>
  <mergeCells count="3">
    <mergeCell ref="A1:G1"/>
    <mergeCell ref="A3:G3"/>
    <mergeCell ref="A21:G22"/>
  </mergeCells>
  <conditionalFormatting sqref="D6:D17">
    <cfRule type="cellIs" priority="2" operator="equal" aboveAverage="0" equalAverage="0" bottom="0" percent="0" rank="0" text="" dxfId="2">
      <formula>"Sim"</formula>
    </cfRule>
  </conditionalFormatting>
  <conditionalFormatting sqref="D6:E17">
    <cfRule type="cellIs" priority="3" operator="equal" aboveAverage="0" equalAverage="0" bottom="0" percent="0" rank="0" text="" dxfId="6">
      <formula>"Não"</formula>
    </cfRule>
  </conditionalFormatting>
  <conditionalFormatting sqref="A6:G17">
    <cfRule type="expression" priority="4" aboveAverage="0" equalAverage="0" bottom="0" percent="0" rank="0" text="" dxfId="7">
      <formula>$F6="Quitada"</formula>
    </cfRule>
  </conditionalFormatting>
  <dataValidations count="3">
    <dataValidation allowBlank="true" error="Digite apenas o valor em números, sem R$. Exemplo: 1500 ou 89,90" errorStyle="stop" errorTitle="Só números" operator="greaterThanOrEqual" prompt="Só o número, sem R$. Ex.: 1500 ou 89,90" promptTitle="Digite o valor" showDropDown="false" showErrorMessage="true" showInputMessage="true" sqref="B6:C17" type="decimal">
      <formula1>0</formula1>
      <formula2>0</formula2>
    </dataValidation>
    <dataValidation allowBlank="true" error="Clique na setinha ▼ e escolha uma das opções da lista." errorStyle="stop" errorTitle="Escolha uma opção" operator="between" prompt="Clique na setinha ▼ e escolha: Sim, Não ou Preciso confirmar." promptTitle="Escolha na lista" showDropDown="false" showErrorMessage="true" showInputMessage="true" sqref="D6:E17" type="list">
      <formula1>"Sim,Não,Preciso confirmar"</formula1>
      <formula2>0</formula2>
    </dataValidation>
    <dataValidation allowBlank="true" error="Clique na setinha ▼ e escolha uma das opções da lista." errorStyle="stop" errorTitle="Escolha uma opção" operator="between" prompt="Escolha uma sugestão na setinha ▼ ou digite sua própria ação." promptTitle="Próxima ação" showDropDown="false" showErrorMessage="false" showInputMessage="true" sqref="F6:F17" type="list">
      <formula1>"Confirmar saldo,Pedir proposta,Negociar parcela,Pagar parcela,Aguardar retorno,Quitada"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44"/>
  </cols>
  <sheetData>
    <row r="1" customFormat="false" ht="66" hidden="false" customHeight="true" outlineLevel="0" collapsed="false">
      <c r="A1" s="1" t="s">
        <v>102</v>
      </c>
      <c r="B1" s="1"/>
      <c r="C1" s="1"/>
      <c r="D1" s="1"/>
      <c r="E1" s="1"/>
    </row>
    <row r="2" customFormat="false" ht="4.5" hidden="false" customHeight="true" outlineLevel="0" collapsed="false">
      <c r="A2" s="2"/>
      <c r="B2" s="2"/>
      <c r="C2" s="2"/>
      <c r="D2" s="2"/>
      <c r="E2" s="2"/>
    </row>
    <row r="3" customFormat="false" ht="33.75" hidden="false" customHeight="true" outlineLevel="0" collapsed="false">
      <c r="A3" s="3" t="s">
        <v>103</v>
      </c>
      <c r="B3" s="3"/>
      <c r="C3" s="3"/>
      <c r="D3" s="3"/>
      <c r="E3" s="3"/>
    </row>
    <row r="5" customFormat="false" ht="30" hidden="false" customHeight="true" outlineLevel="0" collapsed="false">
      <c r="A5" s="18" t="s">
        <v>104</v>
      </c>
      <c r="B5" s="19" t="s">
        <v>105</v>
      </c>
      <c r="C5" s="19" t="s">
        <v>106</v>
      </c>
      <c r="D5" s="19" t="s">
        <v>107</v>
      </c>
      <c r="E5" s="19" t="s">
        <v>108</v>
      </c>
    </row>
    <row r="6" customFormat="false" ht="25.5" hidden="false" customHeight="true" outlineLevel="0" collapsed="false">
      <c r="A6" s="29" t="s">
        <v>109</v>
      </c>
      <c r="B6" s="29" t="s">
        <v>110</v>
      </c>
      <c r="C6" s="29"/>
      <c r="D6" s="30" t="s">
        <v>111</v>
      </c>
      <c r="E6" s="29"/>
    </row>
    <row r="7" customFormat="false" ht="25.5" hidden="false" customHeight="true" outlineLevel="0" collapsed="false">
      <c r="A7" s="29" t="s">
        <v>109</v>
      </c>
      <c r="B7" s="29" t="s">
        <v>112</v>
      </c>
      <c r="C7" s="29"/>
      <c r="D7" s="30" t="s">
        <v>111</v>
      </c>
      <c r="E7" s="29"/>
    </row>
    <row r="8" customFormat="false" ht="25.5" hidden="false" customHeight="true" outlineLevel="0" collapsed="false">
      <c r="A8" s="29" t="s">
        <v>109</v>
      </c>
      <c r="B8" s="29" t="s">
        <v>113</v>
      </c>
      <c r="C8" s="29"/>
      <c r="D8" s="30" t="s">
        <v>111</v>
      </c>
      <c r="E8" s="29"/>
    </row>
    <row r="9" customFormat="false" ht="25.5" hidden="false" customHeight="true" outlineLevel="0" collapsed="false">
      <c r="A9" s="29" t="s">
        <v>114</v>
      </c>
      <c r="B9" s="29" t="s">
        <v>115</v>
      </c>
      <c r="C9" s="29"/>
      <c r="D9" s="30" t="s">
        <v>111</v>
      </c>
      <c r="E9" s="29"/>
    </row>
    <row r="10" customFormat="false" ht="25.5" hidden="false" customHeight="true" outlineLevel="0" collapsed="false">
      <c r="A10" s="29" t="s">
        <v>114</v>
      </c>
      <c r="B10" s="29" t="s">
        <v>116</v>
      </c>
      <c r="C10" s="29"/>
      <c r="D10" s="30" t="s">
        <v>111</v>
      </c>
      <c r="E10" s="29"/>
    </row>
    <row r="11" customFormat="false" ht="25.5" hidden="false" customHeight="true" outlineLevel="0" collapsed="false">
      <c r="A11" s="29" t="s">
        <v>117</v>
      </c>
      <c r="B11" s="29" t="s">
        <v>118</v>
      </c>
      <c r="C11" s="29"/>
      <c r="D11" s="30" t="s">
        <v>111</v>
      </c>
      <c r="E11" s="29"/>
    </row>
    <row r="12" customFormat="false" ht="25.5" hidden="false" customHeight="true" outlineLevel="0" collapsed="false">
      <c r="A12" s="29" t="s">
        <v>119</v>
      </c>
      <c r="B12" s="29" t="s">
        <v>120</v>
      </c>
      <c r="C12" s="29"/>
      <c r="D12" s="30" t="s">
        <v>111</v>
      </c>
      <c r="E12" s="29"/>
    </row>
    <row r="13" customFormat="false" ht="25.5" hidden="false" customHeight="true" outlineLevel="0" collapsed="false">
      <c r="A13" s="29"/>
      <c r="B13" s="29"/>
      <c r="C13" s="29"/>
      <c r="D13" s="30"/>
      <c r="E13" s="29"/>
    </row>
    <row r="14" customFormat="false" ht="25.5" hidden="false" customHeight="true" outlineLevel="0" collapsed="false">
      <c r="A14" s="29"/>
      <c r="B14" s="29"/>
      <c r="C14" s="29"/>
      <c r="D14" s="30"/>
      <c r="E14" s="29"/>
    </row>
    <row r="15" customFormat="false" ht="25.5" hidden="false" customHeight="true" outlineLevel="0" collapsed="false">
      <c r="A15" s="29"/>
      <c r="B15" s="29"/>
      <c r="C15" s="29"/>
      <c r="D15" s="30"/>
      <c r="E15" s="29"/>
    </row>
    <row r="16" customFormat="false" ht="25.5" hidden="false" customHeight="true" outlineLevel="0" collapsed="false">
      <c r="A16" s="29"/>
      <c r="B16" s="29"/>
      <c r="C16" s="29"/>
      <c r="D16" s="30"/>
      <c r="E16" s="29"/>
    </row>
    <row r="17" customFormat="false" ht="25.5" hidden="false" customHeight="true" outlineLevel="0" collapsed="false">
      <c r="A17" s="29"/>
      <c r="B17" s="29"/>
      <c r="C17" s="29"/>
      <c r="D17" s="30"/>
      <c r="E17" s="29"/>
    </row>
    <row r="19" customFormat="false" ht="30" hidden="false" customHeight="true" outlineLevel="0" collapsed="false">
      <c r="A19" s="26" t="s">
        <v>121</v>
      </c>
      <c r="B19" s="35" t="str">
        <f aca="false">COUNTIF(D6:D17,"Concluído")&amp;" de "&amp;COUNTA(B6:B17)&amp;" ações concluídas"</f>
        <v>0 de 7 ações concluídas</v>
      </c>
      <c r="C19" s="33"/>
      <c r="D19" s="33"/>
      <c r="E19" s="33"/>
    </row>
    <row r="21" customFormat="false" ht="33.75" hidden="false" customHeight="true" outlineLevel="0" collapsed="false">
      <c r="A21" s="16" t="s">
        <v>122</v>
      </c>
      <c r="B21" s="16"/>
      <c r="C21" s="16"/>
      <c r="D21" s="16"/>
      <c r="E21" s="16"/>
    </row>
    <row r="22" customFormat="false" ht="15" hidden="false" customHeight="false" outlineLevel="0" collapsed="false">
      <c r="A22" s="16"/>
      <c r="B22" s="16"/>
      <c r="C22" s="16"/>
      <c r="D22" s="16"/>
      <c r="E22" s="16"/>
    </row>
  </sheetData>
  <sheetProtection sheet="true" formatColumns="false" formatRows="false"/>
  <mergeCells count="3">
    <mergeCell ref="A1:E1"/>
    <mergeCell ref="A3:E3"/>
    <mergeCell ref="A21:E22"/>
  </mergeCells>
  <conditionalFormatting sqref="D6:D17">
    <cfRule type="cellIs" priority="2" operator="equal" aboveAverage="0" equalAverage="0" bottom="0" percent="0" rank="0" text="" dxfId="3">
      <formula>"Concluído"</formula>
    </cfRule>
    <cfRule type="cellIs" priority="3" operator="equal" aboveAverage="0" equalAverage="0" bottom="0" percent="0" rank="0" text="" dxfId="8">
      <formula>"Em andamento"</formula>
    </cfRule>
  </conditionalFormatting>
  <conditionalFormatting sqref="A6:C17">
    <cfRule type="expression" priority="4" aboveAverage="0" equalAverage="0" bottom="0" percent="0" rank="0" text="" dxfId="9">
      <formula>$D6="Concluído"</formula>
    </cfRule>
  </conditionalFormatting>
  <dataValidations count="2">
    <dataValidation allowBlank="true" error="Clique na setinha ▼ e escolha uma das opções da lista." errorStyle="stop" errorTitle="Escolha uma opção" operator="between" prompt="Clique na setinha ▼ e escolha como está essa ação." promptTitle="Status" showDropDown="false" showErrorMessage="true" showInputMessage="true" sqref="D6:D17" type="list">
      <formula1>"Não comecei,Em andamento,Concluído"</formula1>
      <formula2>0</formula2>
    </dataValidation>
    <dataValidation allowBlank="true" error="Clique na setinha ▼ e escolha uma das opções da lista." errorStyle="stop" errorTitle="Escolha uma opção" operator="between" prompt="Escolha na setinha ▼ ou digite uma data." promptTitle="Quando?" showDropDown="false" showErrorMessage="false" showInputMessage="true" sqref="A6:A17" type="list">
      <formula1>"Hoje,Esta semana,Próximas 2 semanas,Este mês,Todo mês"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2026-10-15T16:11:39Z</dcterms:created>
  <dc:creator>openpyxl</dc:creator>
  <dc:description/>
  <dc:language>en-US</dc:language>
  <cp:lastModifiedBy/>
  <dcterms:modified xsi:type="dcterms:W3CDTF">2026-10-15T16:11:39Z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